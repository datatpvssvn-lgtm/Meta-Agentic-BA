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c4d2598b0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sản phẩm" sheetId="1" r:id="Red690e3b58ec4c31"/>
    <x:sheet xmlns:r="http://schemas.openxmlformats.org/officeDocument/2006/relationships" name="Ghi chú nguồn" sheetId="2" r:id="Ra62c61352c40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%"/>
    <x:numFmt numFmtId="202" formatCode="0.0"/>
    <x:numFmt numFmtId="203" formatCode="@"/>
    <x:numFmt numFmtId="204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8A2E1C"/>
      <x:name val="Carlito"/>
    </x:font>
    <x:font>
      <x:b/>
      <x:sz val="11"/>
      <x:color rgb="FF5C2A1E"/>
      <x:name val="Carlito"/>
    </x:font>
    <x:font>
      <x:b/>
      <x:sz val="11"/>
      <x:color rgb="FFEE4D2D"/>
      <x:name val="Carlito"/>
    </x:font>
    <x:font>
      <x:sz val="11"/>
      <x:color rgb="FF6B5A1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8A2E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E4D2D"/>
      </x:patternFill>
    </x:fill>
    <x:fill>
      <x:patternFill patternType="solid">
        <x:fgColor rgb="FFFFF3EF"/>
      </x:patternFill>
    </x:fill>
    <x:fill>
      <x:patternFill patternType="solid">
        <x:fgColor rgb="FFFFF8F5"/>
      </x:patternFill>
    </x:fill>
    <x:fill>
      <x:patternFill patternType="solid">
        <x:fgColor rgb="FFFFFBEA"/>
      </x:patternFill>
    </x:fill>
    <x:fill>
      <x:patternFill patternType="solid">
        <x:fgColor rgb="FFC73B20"/>
      </x:patternFill>
    </x:fill>
    <x:fill>
      <x:patternFill patternType="solid">
        <x:fgColor rgb="FF4B5563"/>
      </x:patternFill>
    </x:fill>
  </x:fills>
  <x:borders count="19">
    <x:border/>
    <x:border>
      <x:left style="thin">
        <x:color rgb="FFF1B7A7"/>
      </x:left>
      <x:top style="thin">
        <x:color rgb="FFF1B7A7"/>
      </x:top>
      <x:bottom style="thin">
        <x:color rgb="FFF1B7A7"/>
      </x:bottom>
    </x:border>
    <x:border>
      <x:top style="thin">
        <x:color rgb="FFF1B7A7"/>
      </x:top>
      <x:bottom style="thin">
        <x:color rgb="FFF1B7A7"/>
      </x:bottom>
    </x:border>
    <x:border>
      <x:right style="thin">
        <x:color rgb="FFF1B7A7"/>
      </x:right>
      <x:top style="thin">
        <x:color rgb="FFF1B7A7"/>
      </x:top>
      <x:bottom style="thin">
        <x:color rgb="FFF1B7A7"/>
      </x:bottom>
    </x:border>
    <x:border>
      <x:left style="thin">
        <x:color rgb="FFE7A795"/>
      </x:left>
      <x:top style="thin">
        <x:color rgb="FFE7A795"/>
      </x:top>
    </x:border>
    <x:border>
      <x:right style="thin">
        <x:color rgb="FFE7A795"/>
      </x:right>
      <x:top style="thin">
        <x:color rgb="FFE7A795"/>
      </x:top>
    </x:border>
    <x:border>
      <x:left style="thin">
        <x:color rgb="FFE7A795"/>
      </x:left>
    </x:border>
    <x:border>
      <x:right style="thin">
        <x:color rgb="FFE7A795"/>
      </x:right>
    </x:border>
    <x:border>
      <x:left style="thin">
        <x:color rgb="FFE7A795"/>
      </x:left>
      <x:bottom style="thin">
        <x:color rgb="FFE7A795"/>
      </x:bottom>
    </x:border>
    <x:border>
      <x:right style="thin">
        <x:color rgb="FFE7A795"/>
      </x:right>
      <x:bottom style="thin">
        <x:color rgb="FFE7A795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0" fillId="0" borderId="5" xfId="0" applyNumberFormat="1" applyFont="1" applyFill="1" applyBorder="1"/>
    <x:xf numFmtId="0" fontId="8" fillId="3" borderId="6" xfId="0" applyNumberFormat="1" applyFont="1" applyFill="1" applyBorder="1"/>
    <x:xf numFmtId="0" fontId="0" fillId="0" borderId="7" xfId="0" applyNumberFormat="1" applyFont="1" applyFill="1" applyBorder="1"/>
    <x:xf numFmtId="0" fontId="8" fillId="3" borderId="8" xfId="0" applyNumberFormat="1" applyFont="1" applyFill="1" applyBorder="1"/>
    <x:xf numFmtId="0" fontId="0" fillId="0" borderId="9" xfId="0" applyNumberFormat="1" applyFont="1" applyFill="1" applyBorder="1"/>
    <x:xf numFmtId="204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77245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4c29cda7b412a" /><Relationship Type="http://schemas.openxmlformats.org/officeDocument/2006/relationships/theme" Target="/xl/theme/theme1.xml" Id="R025d0da596ca4104" /><Relationship Type="http://schemas.openxmlformats.org/officeDocument/2006/relationships/sharedStrings" Target="/xl/sharedStrings.xml" Id="R785ce8fb80ff4ff4" /><Relationship Type="http://schemas.openxmlformats.org/officeDocument/2006/relationships/worksheet" Target="/xl/worksheets/sheet1.xml" Id="Red690e3b58ec4c31" /><Relationship Type="http://schemas.openxmlformats.org/officeDocument/2006/relationships/worksheet" Target="/xl/worksheets/sheet2.xml" Id="Ra62c61352c40415f" /></Relationships>
</file>

<file path=xl/tables/table1.xml><?xml version="1.0" encoding="utf-8"?>
<x:table xmlns:x="http://schemas.openxmlformats.org/spreadsheetml/2006/main" id="1" name="JoycatProducts" displayName="JoycatProducts" ref="A7:N32" headerRowCount="1" totalsRowCount="0" totalsRowShown="0">
  <x:autoFilter ref="A7:N32"/>
  <x:tableColumns count="14">
    <x:tableColumn id="1" name="STT"/>
    <x:tableColumn id="2" name="Trạng thái"/>
    <x:tableColumn id="3" name="Nhóm sản phẩm"/>
    <x:tableColumn id="4" name="Quy cách bán"/>
    <x:tableColumn id="5" name="Tên sản phẩm"/>
    <x:tableColumn id="6" name="Giá hiện tại (VND)"/>
    <x:tableColumn id="7" name="Giảm giá"/>
    <x:tableColumn id="8" name="Quà tặng"/>
    <x:tableColumn id="9" name="Điểm đánh giá"/>
    <x:tableColumn id="10" name="Đã bán (hiển thị)"/>
    <x:tableColumn id="11" name="Item ID"/>
    <x:tableColumn id="12" name="Link sản phẩm"/>
    <x:tableColumn id="13" name="Nguồn thu thập"/>
    <x:tableColumn id="14" name="Ngày thu thậ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e2bed7cec847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29" hidden="0" customWidth="1"/>
    <x:col min="4" max="4" width="22" hidden="0" customWidth="1"/>
    <x:col min="5" max="5" width="62" hidden="0" customWidth="1"/>
    <x:col min="6" max="6" width="18" hidden="0" customWidth="1"/>
    <x:col min="7" max="7" width="11" hidden="0" customWidth="1"/>
    <x:col min="8" max="8" width="11" hidden="0" customWidth="1"/>
    <x:col min="9" max="9" width="14" hidden="0" customWidth="1"/>
    <x:col min="10" max="10" width="18" hidden="0" customWidth="1"/>
    <x:col min="11" max="11" width="16" hidden="0" customWidth="1"/>
    <x:col min="12" max="12" width="52" hidden="0" customWidth="1"/>
    <x:col min="13" max="13" width="32" hidden="0" customWidth="1"/>
    <x:col min="14" max="14" width="15" hidden="0" customWidth="1"/>
  </x:cols>
  <x:sheetData>
    <x:row r="1" ht="32" customHeight="1">
      <x:c r="A1" s="4" t="str">
        <x:v>DANH SÁCH SẢN PHẨM SHOPEE — CÁT MÈO JOYCAT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8" t="str">
        <x:v>Nguồn: https://shopee.vn/joycat_shop | Thu thập ngày 2026-08-25 | Giá và số đã bán có thể thay đổi theo thời điểm/người dùng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2" t="str">
        <x:v>Tổng SP</x:v>
      </x:c>
      <x:c r="B4" s="15" t="n">
        <x:f>COUNTA($E$8:$E$32)</x:f>
        <x:v>25</x:v>
      </x:c>
      <x:c r="C4" s="13"/>
      <x:c r="D4" s="13" t="str">
        <x:v>Đang hiển thị</x:v>
      </x:c>
      <x:c r="E4" s="13" t="n">
        <x:f>COUNTIF($B$8:$B$32,"Đang hiển thị")</x:f>
        <x:v>23</x:v>
      </x:c>
      <x:c r="F4" s="13"/>
      <x:c r="G4" s="13" t="str">
        <x:v>Đã bán hết</x:v>
      </x:c>
      <x:c r="H4" s="13" t="n">
        <x:f>COUNTIF($B$8:$B$32,"Đã bán hết")</x:f>
        <x:v>2</x:v>
      </x:c>
      <x:c r="I4" s="13"/>
      <x:c r="J4" s="13" t="str">
        <x:v>Giá thấp nhất</x:v>
      </x:c>
      <x:c r="K4" s="16" t="n">
        <x:f>MIN($F$8:$F$32)</x:f>
        <x:v>39000</x:v>
      </x:c>
      <x:c r="L4" s="13"/>
      <x:c r="M4" s="13" t="str">
        <x:v>Giá cao nhất</x:v>
      </x:c>
      <x:c r="N4" s="14" t="n">
        <x:f>MAX($F$8:$F$32)</x:f>
        <x:v>853600</x:v>
      </x:c>
    </x:row>
    <x:row r="6">
      <x:c r="A6" s="19" t="str">
        <x:v>23 sản phẩm đang hiển thị trong All Products + 2 sản phẩm đã bán hết nhưng vẫn thuộc catalog 25 sản phẩm của shop.</x:v>
      </x:c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</x:row>
    <x:row r="7">
      <x:c r="A7" s="24" t="str">
        <x:v>STT</x:v>
      </x:c>
      <x:c r="B7" s="24" t="str">
        <x:v>Trạng thái</x:v>
      </x:c>
      <x:c r="C7" s="24" t="str">
        <x:v>Nhóm sản phẩm</x:v>
      </x:c>
      <x:c r="D7" s="24" t="str">
        <x:v>Quy cách bán</x:v>
      </x:c>
      <x:c r="E7" s="24" t="str">
        <x:v>Tên sản phẩm</x:v>
      </x:c>
      <x:c r="F7" s="24" t="str">
        <x:v>Giá hiện tại (VND)</x:v>
      </x:c>
      <x:c r="G7" s="24" t="str">
        <x:v>Giảm giá</x:v>
      </x:c>
      <x:c r="H7" s="24" t="str">
        <x:v>Quà tặng</x:v>
      </x:c>
      <x:c r="I7" s="24" t="str">
        <x:v>Điểm đánh giá</x:v>
      </x:c>
      <x:c r="J7" s="24" t="str">
        <x:v>Đã bán (hiển thị)</x:v>
      </x:c>
      <x:c r="K7" s="24" t="str">
        <x:v>Item ID</x:v>
      </x:c>
      <x:c r="L7" s="24" t="str">
        <x:v>Link sản phẩm</x:v>
      </x:c>
      <x:c r="M7" s="24" t="str">
        <x:v>Nguồn thu thập</x:v>
      </x:c>
      <x:c r="N7" s="24" t="str">
        <x:v>Ngày thu thập</x:v>
      </x:c>
    </x:row>
    <x:row r="8" ht="44" customHeight="1">
      <x:c r="A8" s="27" t="n">
        <x:v>1</x:v>
      </x:c>
      <x:c r="B8" s="28" t="str">
        <x:v>Đang hiển thị</x:v>
      </x:c>
      <x:c r="C8" s="26" t="str">
        <x:v>Vi sinh khử mùi</x:v>
      </x:c>
      <x:c r="D8" s="26" t="str">
        <x:v>Combo xịt và bột</x:v>
      </x:c>
      <x:c r="E8" s="26" t="str">
        <x:v>Combo Vi Sinh Khử Mùi JOYCAT (Xịt &amp; Bột) - Công Thức Dual E.M Bio-Technology™, Khử Mùi &amp; Diệt Khuẩn, Hiệu Quả Kéo Dài</x:v>
      </x:c>
      <x:c r="F8" s="29" t="n">
        <x:v>149000</x:v>
      </x:c>
      <x:c r="G8" s="30" t="n">
        <x:v>0.25</x:v>
      </x:c>
      <x:c r="H8" s="27" t="str">
        <x:v>Không</x:v>
      </x:c>
      <x:c r="I8" s="31" t="n">
        <x:v>4.9</x:v>
      </x:c>
      <x:c r="J8" s="27" t="str">
        <x:v>604</x:v>
      </x:c>
      <x:c r="K8" s="32" t="str">
        <x:v>54652253159</x:v>
      </x:c>
      <x:c r="L8" s="26" t="str">
        <x:v>https://shopee.vn/Combo-Vi-Sinh-Kh%E1%BB%AD-M%C3%B9i-JOYCAT-(X%E1%BB%8Bt-B%E1%BB%99t)-C%C3%B4ng-Th%E1%BB%A9c-Dual-E.M-Bio-Technology%E2%84%A2-Kh%E1%BB%AD-M%C3%B9i-Di%E1%BB%87t-Khu%E1%BA%A9n-Hi%E1%BB%87u-Qu%E1%BA%A3-K%C3%A9o-D%C3%A0i-i.853699347.54652253159</x:v>
      </x:c>
      <x:c r="M8" s="26" t="str">
        <x:v>Shopee All Products sau đăng nhập</x:v>
      </x:c>
      <x:c r="N8" s="33" t="n">
        <x:v>46259</x:v>
      </x:c>
    </x:row>
    <x:row r="9" ht="44" customHeight="1">
      <x:c r="A9" s="27" t="n">
        <x:v>2</x:v>
      </x:c>
      <x:c r="B9" s="28" t="str">
        <x:v>Đang hiển thị</x:v>
      </x:c>
      <x:c r="C9" s="26" t="str">
        <x:v>Vi sinh khử mùi</x:v>
      </x:c>
      <x:c r="D9" s="26" t="str">
        <x:v>1 túi 75g</x:v>
      </x:c>
      <x:c r="E9" s="26" t="str">
        <x:v>Bột Vi Sinh Khử Mùi JOYCAT (Túi 75g) - Công Thức E.M Control Formula™, Khử Mùi &amp; Diệt Khuẩn, Hiệu Quả Kéo Dài</x:v>
      </x:c>
      <x:c r="F9" s="29" t="n">
        <x:v>39000</x:v>
      </x:c>
      <x:c r="G9" s="30" t="n">
        <x:v>0.2</x:v>
      </x:c>
      <x:c r="H9" s="27" t="str">
        <x:v>Không</x:v>
      </x:c>
      <x:c r="I9" s="31" t="n">
        <x:v>5</x:v>
      </x:c>
      <x:c r="J9" s="27" t="str">
        <x:v>1k+</x:v>
      </x:c>
      <x:c r="K9" s="32" t="str">
        <x:v>44502278009</x:v>
      </x:c>
      <x:c r="L9" s="26" t="str">
        <x:v>https://shopee.vn/B%E1%BB%99t-Vi-Sinh-Kh%E1%BB%AD-M%C3%B9i-JOYCAT-(T%C3%BAi-75g)-C%C3%B4ng-Th%E1%BB%A9c-E.M-Control-Formula%E2%84%A2-Kh%E1%BB%AD-M%C3%B9i-Di%E1%BB%87t-Khu%E1%BA%A9n-Hi%E1%BB%87u-Qu%E1%BA%A3-K%C3%A9o-D%C3%A0i-i.853699347.44502278009</x:v>
      </x:c>
      <x:c r="M9" s="26" t="str">
        <x:v>Shopee All Products sau đăng nhập</x:v>
      </x:c>
      <x:c r="N9" s="33" t="n">
        <x:v>46259</x:v>
      </x:c>
    </x:row>
    <x:row r="10" ht="44" customHeight="1">
      <x:c r="A10" s="27" t="n">
        <x:v>3</x:v>
      </x:c>
      <x:c r="B10" s="28" t="str">
        <x:v>Đang hiển thị</x:v>
      </x:c>
      <x:c r="C10" s="26" t="str">
        <x:v>Cát Sắn Natural</x:v>
      </x:c>
      <x:c r="D10" s="26" t="str">
        <x:v>Combo 3 túi</x:v>
      </x:c>
      <x:c r="E10" s="26" t="str">
        <x:v>Combo 3 Túi Cát Sắn Natural Advanced JOYCAT (Túi 2.5kg / 6L) - Cát Mèo Thế Hệ Mới, Theo Dõi Sức Khỏe Ultimate Health IQ</x:v>
      </x:c>
      <x:c r="F10" s="29" t="n">
        <x:v>431200</x:v>
      </x:c>
      <x:c r="G10" s="30" t="n">
        <x:v>0.2</x:v>
      </x:c>
      <x:c r="H10" s="27" t="str">
        <x:v>Có</x:v>
      </x:c>
      <x:c r="I10" s="31" t="n">
        <x:v>5</x:v>
      </x:c>
      <x:c r="J10" s="27" t="str">
        <x:v>823</x:v>
      </x:c>
      <x:c r="K10" s="32" t="str">
        <x:v>53301517532</x:v>
      </x:c>
      <x:c r="L10" s="26" t="str">
        <x:v>https://shopee.vn/Combo-3-T%C3%BAi-C%C3%A1t-S%E1%BA%AFn-Natural-Advanced-JOYCAT-(T%C3%BAi-2.5kg-6L)-C%C3%A1t-M%C3%A8o-Th%E1%BA%BF-H%E1%BB%87-M%E1%BB%9Bi-Theo-D%C3%B5i-S%E1%BB%A9c-Kh%E1%BB%8Fe-Ultimate-Health-IQ-i.853699347.53301517532</x:v>
      </x:c>
      <x:c r="M10" s="26" t="str">
        <x:v>Shopee All Products sau đăng nhập</x:v>
      </x:c>
      <x:c r="N10" s="33" t="n">
        <x:v>46259</x:v>
      </x:c>
    </x:row>
    <x:row r="11" ht="44" customHeight="1">
      <x:c r="A11" s="27" t="n">
        <x:v>4</x:v>
      </x:c>
      <x:c r="B11" s="28" t="str">
        <x:v>Đang hiển thị</x:v>
      </x:c>
      <x:c r="C11" s="26" t="str">
        <x:v>Cát Sắn Natural</x:v>
      </x:c>
      <x:c r="D11" s="26" t="str">
        <x:v>1 túi 2,5kg / 6L</x:v>
      </x:c>
      <x:c r="E11" s="26" t="str">
        <x:v>Cát Sắn Natural Advanced JOYCAT (Túi 2.5kg / 6L) - Cát Vệ Sinh Cho Mèo Thế Hệ Mới, Theo Dõi Sức Khỏe Ultimate Health IQ</x:v>
      </x:c>
      <x:c r="F11" s="29" t="n">
        <x:v>148720</x:v>
      </x:c>
      <x:c r="G11" s="30" t="n">
        <x:v>0.17</x:v>
      </x:c>
      <x:c r="H11" s="27" t="str">
        <x:v>Có</x:v>
      </x:c>
      <x:c r="I11" s="31" t="n">
        <x:v>4.9</x:v>
      </x:c>
      <x:c r="J11" s="27" t="str">
        <x:v>5k+</x:v>
      </x:c>
      <x:c r="K11" s="32" t="str">
        <x:v>41659422198</x:v>
      </x:c>
      <x:c r="L11" s="26" t="str">
        <x:v>https://shopee.vn/C%C3%A1t-S%E1%BA%AFn-Natural-Advanced-JOYCAT-(T%C3%BAi-2.5kg-6L)-C%C3%A1t-V%E1%BB%87-Sinh-Cho-M%C3%A8o-Th%E1%BA%BF-H%E1%BB%87-M%E1%BB%9Bi-Theo-D%C3%B5i-S%E1%BB%A9c-Kh%E1%BB%8Fe-Ultimate-Health-IQ-i.853699347.41659422198</x:v>
      </x:c>
      <x:c r="M11" s="26" t="str">
        <x:v>Shopee All Products sau đăng nhập</x:v>
      </x:c>
      <x:c r="N11" s="33" t="n">
        <x:v>46259</x:v>
      </x:c>
    </x:row>
    <x:row r="12" ht="44" customHeight="1">
      <x:c r="A12" s="27" t="n">
        <x:v>5</x:v>
      </x:c>
      <x:c r="B12" s="28" t="str">
        <x:v>Đang hiển thị</x:v>
      </x:c>
      <x:c r="C12" s="26" t="str">
        <x:v>Cát Mix PerformX</x:v>
      </x:c>
      <x:c r="D12" s="26" t="str">
        <x:v>Combo 3 túi</x:v>
      </x:c>
      <x:c r="E12" s="26" t="str">
        <x:v>Combo 3 Túi Cát Mix PerformX Advanced JOYCAT (Túi 2.5kg / 6L) - Cát Mèo Thế Hệ Mới, Theo Dõi Sức Khỏe Ultimate Health IQ</x:v>
      </x:c>
      <x:c r="F12" s="29" t="n">
        <x:v>325600</x:v>
      </x:c>
      <x:c r="G12" s="30" t="n">
        <x:v>0.28</x:v>
      </x:c>
      <x:c r="H12" s="27" t="str">
        <x:v>Có</x:v>
      </x:c>
      <x:c r="I12" s="31" t="n">
        <x:v>4.9</x:v>
      </x:c>
      <x:c r="J12" s="27" t="str">
        <x:v>697</x:v>
      </x:c>
      <x:c r="K12" s="32" t="str">
        <x:v>47303410867</x:v>
      </x:c>
      <x:c r="L12" s="26" t="str">
        <x:v>https://shopee.vn/Combo-3-T%C3%BAi-C%C3%A1t-Mix-PerformX-Advanced-JOYCAT-(T%C3%BAi-2.5kg-6L)-C%C3%A1t-M%C3%A8o-Th%E1%BA%BF-H%E1%BB%87-M%E1%BB%9Bi-Theo-D%C3%B5i-S%E1%BB%A9c-Kh%E1%BB%8Fe-Ultimate-Health-IQ-i.853699347.47303410867</x:v>
      </x:c>
      <x:c r="M12" s="26" t="str">
        <x:v>Shopee All Products sau đăng nhập</x:v>
      </x:c>
      <x:c r="N12" s="33" t="n">
        <x:v>46259</x:v>
      </x:c>
    </x:row>
    <x:row r="13" ht="44" customHeight="1">
      <x:c r="A13" s="27" t="n">
        <x:v>6</x:v>
      </x:c>
      <x:c r="B13" s="28" t="str">
        <x:v>Đang hiển thị</x:v>
      </x:c>
      <x:c r="C13" s="26" t="str">
        <x:v>Cát Mix PerformX</x:v>
      </x:c>
      <x:c r="D13" s="26" t="str">
        <x:v>1 túi 2,5kg / 6L</x:v>
      </x:c>
      <x:c r="E13" s="26" t="str">
        <x:v>Cát Mix PerformX Advanced JOYCAT (Túi 2.5kg / 6L) - Cát Vệ Sinh Cho Mèo Thế Hệ Mới, Theo Dõi Sức Khỏe Ultimate Health IQ</x:v>
      </x:c>
      <x:c r="F13" s="29" t="n">
        <x:v>129000</x:v>
      </x:c>
      <x:c r="G13" s="30" t="n">
        <x:v>0.14</x:v>
      </x:c>
      <x:c r="H13" s="27" t="str">
        <x:v>Có</x:v>
      </x:c>
      <x:c r="I13" s="31" t="n">
        <x:v>4.8</x:v>
      </x:c>
      <x:c r="J13" s="27" t="str">
        <x:v>1k+</x:v>
      </x:c>
      <x:c r="K13" s="32" t="str">
        <x:v>43727202767</x:v>
      </x:c>
      <x:c r="L13" s="26" t="str">
        <x:v>https://shopee.vn/C%C3%A1t-Mix-PerformX-Advanced-JOYCAT-(T%C3%BAi-2.5kg-6L)-C%C3%A1t-V%E1%BB%87-Sinh-Cho-M%C3%A8o-Th%E1%BA%BF-H%E1%BB%87-M%E1%BB%9Bi-Theo-D%C3%B5i-S%E1%BB%A9c-Kh%E1%BB%8Fe-Ultimate-Health-IQ-i.853699347.43727202767</x:v>
      </x:c>
      <x:c r="M13" s="26" t="str">
        <x:v>Shopee All Products sau đăng nhập</x:v>
      </x:c>
      <x:c r="N13" s="33" t="n">
        <x:v>46259</x:v>
      </x:c>
    </x:row>
    <x:row r="14" ht="44" customHeight="1">
      <x:c r="A14" s="27" t="n">
        <x:v>7</x:v>
      </x:c>
      <x:c r="B14" s="28" t="str">
        <x:v>Đang hiển thị</x:v>
      </x:c>
      <x:c r="C14" s="26" t="str">
        <x:v>Cát Sắn Natural</x:v>
      </x:c>
      <x:c r="D14" s="26" t="str">
        <x:v>Combo 2 túi</x:v>
      </x:c>
      <x:c r="E14" s="26" t="str">
        <x:v>Combo 2 Túi Cát Sắn Natural Advanced JOYCAT (Túi 2.5kg / 6L) - Cát Mèo Thế Hệ Mới, Theo Dõi Sức Khỏe Ultimate Health IQ</x:v>
      </x:c>
      <x:c r="F14" s="29" t="n">
        <x:v>290400</x:v>
      </x:c>
      <x:c r="G14" s="30" t="n">
        <x:v>0.19</x:v>
      </x:c>
      <x:c r="H14" s="27" t="str">
        <x:v>Có</x:v>
      </x:c>
      <x:c r="I14" s="31" t="n">
        <x:v>4.9</x:v>
      </x:c>
      <x:c r="J14" s="27" t="str">
        <x:v>1k+</x:v>
      </x:c>
      <x:c r="K14" s="32" t="str">
        <x:v>43026477525</x:v>
      </x:c>
      <x:c r="L14" s="26" t="str">
        <x:v>https://shopee.vn/Combo-2-T%C3%BAi-C%C3%A1t-S%E1%BA%AFn-Natural-Advanced-JOYCAT-(T%C3%BAi-2.5kg-6L)-C%C3%A1t-M%C3%A8o-Th%E1%BA%BF-H%E1%BB%87-M%E1%BB%9Bi-Theo-D%C3%B5i-S%E1%BB%A9c-Kh%E1%BB%8Fe-Ultimate-Health-IQ-i.853699347.43026477525</x:v>
      </x:c>
      <x:c r="M14" s="26" t="str">
        <x:v>Shopee All Products sau đăng nhập</x:v>
      </x:c>
      <x:c r="N14" s="33" t="n">
        <x:v>46259</x:v>
      </x:c>
    </x:row>
    <x:row r="15" ht="44" customHeight="1">
      <x:c r="A15" s="27" t="n">
        <x:v>8</x:v>
      </x:c>
      <x:c r="B15" s="28" t="str">
        <x:v>Đang hiển thị</x:v>
      </x:c>
      <x:c r="C15" s="26" t="str">
        <x:v>Vi sinh khử mùi</x:v>
      </x:c>
      <x:c r="D15" s="26" t="str">
        <x:v>1 chai 450ml</x:v>
      </x:c>
      <x:c r="E15" s="26" t="str">
        <x:v>Xịt Vi Sinh Khử Mùi JOYCAT (Chai 450ml) - Công Thức E.M Elimination Formula™, Khử Mùi &amp; Diệt Khuẩn, Hiệu Quả Kéo Dài</x:v>
      </x:c>
      <x:c r="F15" s="29" t="n">
        <x:v>132000</x:v>
      </x:c>
      <x:c r="G15" s="30" t="n">
        <x:v>0.12</x:v>
      </x:c>
      <x:c r="H15" s="27" t="str">
        <x:v>Không</x:v>
      </x:c>
      <x:c r="I15" s="31" t="n">
        <x:v>5</x:v>
      </x:c>
      <x:c r="J15" s="27" t="str">
        <x:v>297</x:v>
      </x:c>
      <x:c r="K15" s="32" t="str">
        <x:v>48902263316</x:v>
      </x:c>
      <x:c r="L15" s="26" t="str">
        <x:v>https://shopee.vn/X%E1%BB%8Bt-Vi-Sinh-Kh%E1%BB%AD-M%C3%B9i-JOYCAT-(Chai-450ml)-C%C3%B4ng-Th%E1%BB%A9c-E.M-Elimination-Formula%E2%84%A2-Kh%E1%BB%AD-M%C3%B9i-Di%E1%BB%87t-Khu%E1%BA%A9n-Hi%E1%BB%87u-Qu%E1%BA%A3-K%C3%A9o-D%C3%A0i-i.853699347.48902263316</x:v>
      </x:c>
      <x:c r="M15" s="26" t="str">
        <x:v>Shopee All Products sau đăng nhập</x:v>
      </x:c>
      <x:c r="N15" s="33" t="n">
        <x:v>46259</x:v>
      </x:c>
    </x:row>
    <x:row r="16" ht="44" customHeight="1">
      <x:c r="A16" s="27" t="n">
        <x:v>9</x:v>
      </x:c>
      <x:c r="B16" s="28" t="str">
        <x:v>Đang hiển thị</x:v>
      </x:c>
      <x:c r="C16" s="26" t="str">
        <x:v>Cát Khoáng MineralX</x:v>
      </x:c>
      <x:c r="D16" s="26" t="str">
        <x:v>1 túi 3,5kg / 8L</x:v>
      </x:c>
      <x:c r="E16" s="26" t="str">
        <x:v>Cát Khoáng MineralX Advanced JOYCAT (Túi 3.5kg / 8L) - Cát Vệ Sinh Mèo Thế Hệ Mới, Theo Dõi Sức Khỏe Ultimate Health IQ</x:v>
      </x:c>
      <x:c r="F16" s="29" t="n">
        <x:v>110000</x:v>
      </x:c>
      <x:c r="G16" s="30" t="n">
        <x:v>0.08</x:v>
      </x:c>
      <x:c r="H16" s="27" t="str">
        <x:v>Có</x:v>
      </x:c>
      <x:c r="I16" s="31" t="n">
        <x:v>4.9</x:v>
      </x:c>
      <x:c r="J16" s="27" t="str">
        <x:v>313</x:v>
      </x:c>
      <x:c r="K16" s="32" t="str">
        <x:v>44908677009</x:v>
      </x:c>
      <x:c r="L16" s="26" t="str">
        <x:v>https://shopee.vn/C%C3%A1t-Kho%C3%A1ng-MineralX-Advanced-JOYCAT-(T%C3%BAi-3.5kg-8L)-C%C3%A1t-V%E1%BB%87-Sinh-M%C3%A8o-Th%E1%BA%BF-H%E1%BB%87-M%E1%BB%9Bi-Theo-D%C3%B5i-S%E1%BB%A9c-Kh%E1%BB%8Fe-Ultimate-Health-IQ-i.853699347.44908677009</x:v>
      </x:c>
      <x:c r="M16" s="26" t="str">
        <x:v>Shopee All Products sau đăng nhập</x:v>
      </x:c>
      <x:c r="N16" s="33" t="n">
        <x:v>46259</x:v>
      </x:c>
    </x:row>
    <x:row r="17" ht="44" customHeight="1">
      <x:c r="A17" s="27" t="n">
        <x:v>10</x:v>
      </x:c>
      <x:c r="B17" s="28" t="str">
        <x:v>Đang hiển thị</x:v>
      </x:c>
      <x:c r="C17" s="26" t="str">
        <x:v>Cát Khoáng MineralX</x:v>
      </x:c>
      <x:c r="D17" s="26" t="str">
        <x:v>Combo 2 túi</x:v>
      </x:c>
      <x:c r="E17" s="26" t="str">
        <x:v>Combo 2 Túi Cát Khoáng MineralX Advanced JOYCAT (Túi 3.5kg / 8L) - Cát Mèo Thế Hệ Mới, Theo Dõi Sức Khỏe Ultimate Health</x:v>
      </x:c>
      <x:c r="F17" s="29" t="n">
        <x:v>189200</x:v>
      </x:c>
      <x:c r="G17" s="30" t="n">
        <x:v>0.21</x:v>
      </x:c>
      <x:c r="H17" s="27" t="str">
        <x:v>Có</x:v>
      </x:c>
      <x:c r="I17" s="31" t="n">
        <x:v>4.6</x:v>
      </x:c>
      <x:c r="J17" s="27" t="str">
        <x:v>88</x:v>
      </x:c>
      <x:c r="K17" s="32" t="str">
        <x:v>53758652941</x:v>
      </x:c>
      <x:c r="L17" s="26" t="str">
        <x:v>https://shopee.vn/Combo-2-T%C3%BAi-C%C3%A1t-Kho%C3%A1ng-MineralX-Advanced-JOYCAT-(T%C3%BAi-3.5kg-8L)-C%C3%A1t-M%C3%A8o-Th%E1%BA%BF-H%E1%BB%87-M%E1%BB%9Bi-Theo-D%C3%B5i-S%E1%BB%A9c-Kh%E1%BB%8Fe-Ultimate-Health-i.853699347.53758652941</x:v>
      </x:c>
      <x:c r="M17" s="26" t="str">
        <x:v>Shopee All Products sau đăng nhập</x:v>
      </x:c>
      <x:c r="N17" s="33" t="n">
        <x:v>46259</x:v>
      </x:c>
    </x:row>
    <x:row r="18" ht="44" customHeight="1">
      <x:c r="A18" s="27" t="n">
        <x:v>11</x:v>
      </x:c>
      <x:c r="B18" s="28" t="str">
        <x:v>Đang hiển thị</x:v>
      </x:c>
      <x:c r="C18" s="26" t="str">
        <x:v>Cát Sắn Natural</x:v>
      </x:c>
      <x:c r="D18" s="26" t="str">
        <x:v>1 thùng</x:v>
      </x:c>
      <x:c r="E18" s="26" t="str">
        <x:v>1 Thùng Cát Sắn Natural Advanced JOYCAT (Túi 2.5kg / 6L) - Cát Mèo Thế Hệ Mới, Theo Dõi Sức Khỏe Ultimate Health IQ</x:v>
      </x:c>
      <x:c r="F18" s="29" t="n">
        <x:v>853600</x:v>
      </x:c>
      <x:c r="G18" s="30" t="n">
        <x:v>0.21</x:v>
      </x:c>
      <x:c r="H18" s="27" t="str">
        <x:v>Có</x:v>
      </x:c>
      <x:c r="I18" s="31" t="n">
        <x:v>4.9</x:v>
      </x:c>
      <x:c r="J18" s="27" t="str">
        <x:v>471</x:v>
      </x:c>
      <x:c r="K18" s="32" t="str">
        <x:v>54401512661</x:v>
      </x:c>
      <x:c r="L18" s="26" t="str">
        <x:v>https://shopee.vn/1-Th%C3%B9ng-C%C3%A1t-S%E1%BA%AFn-Natural-Advanced-JOYCAT-(T%C3%BAi-2.5kg-6L)-C%C3%A1t-M%C3%A8o-Th%E1%BA%BF-H%E1%BB%87-M%E1%BB%9Bi-Theo-D%C3%B5i-S%E1%BB%A9c-Kh%E1%BB%8Fe-Ultimate-Health-IQ-i.853699347.54401512661</x:v>
      </x:c>
      <x:c r="M18" s="26" t="str">
        <x:v>Shopee All Products sau đăng nhập</x:v>
      </x:c>
      <x:c r="N18" s="33" t="n">
        <x:v>46259</x:v>
      </x:c>
    </x:row>
    <x:row r="19" ht="44" customHeight="1">
      <x:c r="A19" s="27" t="n">
        <x:v>12</x:v>
      </x:c>
      <x:c r="B19" s="28" t="str">
        <x:v>Đang hiển thị</x:v>
      </x:c>
      <x:c r="C19" s="26" t="str">
        <x:v>Cát Mix PerformX</x:v>
      </x:c>
      <x:c r="D19" s="26" t="str">
        <x:v>Combo 2 túi</x:v>
      </x:c>
      <x:c r="E19" s="26" t="str">
        <x:v>Combo 2 Túi Cát Mix PerformX Advanced JOYCAT (Túi 2.5kg / 6L) - Cát Mèo Thế Hệ Mới, Theo Dõi Sức Khỏe Ultimate Health IQ</x:v>
      </x:c>
      <x:c r="F19" s="29" t="n">
        <x:v>220000</x:v>
      </x:c>
      <x:c r="G19" s="30" t="n">
        <x:v>0.27</x:v>
      </x:c>
      <x:c r="H19" s="27" t="str">
        <x:v>Có</x:v>
      </x:c>
      <x:c r="I19" s="31" t="n">
        <x:v>4.9</x:v>
      </x:c>
      <x:c r="J19" s="27" t="str">
        <x:v>253</x:v>
      </x:c>
      <x:c r="K19" s="32" t="str">
        <x:v>54153386367</x:v>
      </x:c>
      <x:c r="L19" s="26" t="str">
        <x:v>https://shopee.vn/Combo-2-T%C3%BAi-C%C3%A1t-Mix-PerformX-Advanced-JOYCAT-(T%C3%BAi-2.5kg-6L)-C%C3%A1t-M%C3%A8o-Th%E1%BA%BF-H%E1%BB%87-M%E1%BB%9Bi-Theo-D%C3%B5i-S%E1%BB%A9c-Kh%E1%BB%8Fe-Ultimate-Health-IQ-i.853699347.54153386367</x:v>
      </x:c>
      <x:c r="M19" s="26" t="str">
        <x:v>Shopee All Products sau đăng nhập</x:v>
      </x:c>
      <x:c r="N19" s="33" t="n">
        <x:v>46259</x:v>
      </x:c>
    </x:row>
    <x:row r="20" ht="44" customHeight="1">
      <x:c r="A20" s="27" t="n">
        <x:v>13</x:v>
      </x:c>
      <x:c r="B20" s="28" t="str">
        <x:v>Đang hiển thị</x:v>
      </x:c>
      <x:c r="C20" s="26" t="str">
        <x:v>Cát Đậu Nành Mix Khoáng PowerX</x:v>
      </x:c>
      <x:c r="D20" s="26" t="str">
        <x:v>1 túi 2,5kg / 6L</x:v>
      </x:c>
      <x:c r="E20" s="26" t="str">
        <x:v>Cát Đậu Nành Mix Khoáng PowerX Bio JOYCAT (Túi 2.5kg / 6L) - Cát Mèo Thế Hệ Mới, Theo Dõi Sức Khỏe Ultimate Health IQ</x:v>
      </x:c>
      <x:c r="F20" s="29" t="n">
        <x:v>110000</x:v>
      </x:c>
      <x:c r="G20" s="30" t="n">
        <x:v>0.08</x:v>
      </x:c>
      <x:c r="H20" s="27" t="str">
        <x:v>Có</x:v>
      </x:c>
      <x:c r="I20" s="31" t="n">
        <x:v>5</x:v>
      </x:c>
      <x:c r="J20" s="27" t="str">
        <x:v>31</x:v>
      </x:c>
      <x:c r="K20" s="32" t="str">
        <x:v>40981732711</x:v>
      </x:c>
      <x:c r="L20" s="26" t="str">
        <x:v>https://shopee.vn/C%C3%A1t-%C4%90%E1%BA%ADu-N%C3%A0nh-Mix-Kho%C3%A1ng-PowerX-Bio-JOYCAT-(T%C3%BAi-2.5kg-6L)-C%C3%A1t-M%C3%A8o-Th%E1%BA%BF-H%E1%BB%87-M%E1%BB%9Bi-Theo-D%C3%B5i-S%E1%BB%A9c-Kh%E1%BB%8Fe-Ultimate-Health-IQ-i.853699347.40981732711</x:v>
      </x:c>
      <x:c r="M20" s="26" t="str">
        <x:v>Shopee All Products sau đăng nhập</x:v>
      </x:c>
      <x:c r="N20" s="33" t="n">
        <x:v>46259</x:v>
      </x:c>
    </x:row>
    <x:row r="21" ht="44" customHeight="1">
      <x:c r="A21" s="27" t="n">
        <x:v>14</x:v>
      </x:c>
      <x:c r="B21" s="28" t="str">
        <x:v>Đang hiển thị</x:v>
      </x:c>
      <x:c r="C21" s="26" t="str">
        <x:v>Cát Sắn Mix Đậu Nành Tofuu.X</x:v>
      </x:c>
      <x:c r="D21" s="26" t="str">
        <x:v>1 túi 2,5kg / 6L</x:v>
      </x:c>
      <x:c r="E21" s="26" t="str">
        <x:v>[Xả Được Bồn Cầu] Cát Sắn Mix Đậu Nành Tofuu.X Bio JOYCAT (Túi 2.5kg / 6L) - Cát Theo Dõi Sức Khỏe Cho Mèo</x:v>
      </x:c>
      <x:c r="F21" s="29" t="n">
        <x:v>136400</x:v>
      </x:c>
      <x:c r="G21" s="30" t="n">
        <x:v>0.2</x:v>
      </x:c>
      <x:c r="H21" s="27" t="str">
        <x:v>Có</x:v>
      </x:c>
      <x:c r="I21" s="31" t="n">
        <x:v>4.9</x:v>
      </x:c>
      <x:c r="J21" s="27" t="str">
        <x:v>112</x:v>
      </x:c>
      <x:c r="K21" s="32" t="str">
        <x:v>54812261805</x:v>
      </x:c>
      <x:c r="L21" s="26" t="str">
        <x:v>https://shopee.vn/-X%E1%BA%A3-%C4%90%C6%B0%E1%BB%A3c-B%E1%BB%93n-C%E1%BA%A7u-C%C3%A1t-S%E1%BA%AFn-Mix-%C4%90%E1%BA%ADu-N%C3%A0nh-Tofuu.X-Bio-JOYCAT-(T%C3%BAi-2.5kg-6L)-C%C3%A1t-Theo-D%C3%B5i-S%E1%BB%A9c-Kh%E1%BB%8Fe-Cho-M%C3%A8o-i.853699347.54812261805</x:v>
      </x:c>
      <x:c r="M21" s="26" t="str">
        <x:v>Shopee All Products sau đăng nhập</x:v>
      </x:c>
      <x:c r="N21" s="33" t="n">
        <x:v>46259</x:v>
      </x:c>
    </x:row>
    <x:row r="22" ht="44" customHeight="1">
      <x:c r="A22" s="27" t="n">
        <x:v>15</x:v>
      </x:c>
      <x:c r="B22" s="28" t="str">
        <x:v>Đang hiển thị</x:v>
      </x:c>
      <x:c r="C22" s="26" t="str">
        <x:v>Cát Khoáng MineralX</x:v>
      </x:c>
      <x:c r="D22" s="26" t="str">
        <x:v>Combo 4 túi</x:v>
      </x:c>
      <x:c r="E22" s="26" t="str">
        <x:v>Combo 4 Túi Cát Khoáng MineralX Advanced JOYCAT (Túi 3.5kg / 8L) - Cát Mèo Thế Hệ Mới, Theo Dõi Sức Khỏe Ultimate Health</x:v>
      </x:c>
      <x:c r="F22" s="29" t="n">
        <x:v>360800</x:v>
      </x:c>
      <x:c r="G22" s="30" t="n">
        <x:v>0.25</x:v>
      </x:c>
      <x:c r="H22" s="27" t="str">
        <x:v>Có</x:v>
      </x:c>
      <x:c r="I22" s="31" t="n">
        <x:v>4.7</x:v>
      </x:c>
      <x:c r="J22" s="27" t="str">
        <x:v>116</x:v>
      </x:c>
      <x:c r="K22" s="32" t="str">
        <x:v>52008652913</x:v>
      </x:c>
      <x:c r="L22" s="26" t="str">
        <x:v>https://shopee.vn/Combo-4-T%C3%BAi-C%C3%A1t-Kho%C3%A1ng-MineralX-Advanced-JOYCAT-(T%C3%BAi-3.5kg-8L)-C%C3%A1t-M%C3%A8o-Th%E1%BA%BF-H%E1%BB%87-M%E1%BB%9Bi-Theo-D%C3%B5i-S%E1%BB%A9c-Kh%E1%BB%8Fe-Ultimate-Health-i.853699347.52008652913</x:v>
      </x:c>
      <x:c r="M22" s="26" t="str">
        <x:v>Shopee All Products sau đăng nhập</x:v>
      </x:c>
      <x:c r="N22" s="33" t="n">
        <x:v>46259</x:v>
      </x:c>
    </x:row>
    <x:row r="23" ht="44" customHeight="1">
      <x:c r="A23" s="27" t="n">
        <x:v>16</x:v>
      </x:c>
      <x:c r="B23" s="28" t="str">
        <x:v>Đang hiển thị</x:v>
      </x:c>
      <x:c r="C23" s="26" t="str">
        <x:v>Cát Mix PerformX</x:v>
      </x:c>
      <x:c r="D23" s="26" t="str">
        <x:v>1 thùng</x:v>
      </x:c>
      <x:c r="E23" s="26" t="str">
        <x:v>1 Thùng Cát Mix PerformX Advanced JOYCAT (Túi 2.5kg / 6L) - Cát Mèo Thế Hệ Mới, Theo Dõi Sức Khỏe Ultimate Health IQ</x:v>
      </x:c>
      <x:c r="F23" s="29" t="n">
        <x:v>638000</x:v>
      </x:c>
      <x:c r="G23" s="30" t="n">
        <x:v>0.29</x:v>
      </x:c>
      <x:c r="H23" s="27" t="str">
        <x:v>Có</x:v>
      </x:c>
      <x:c r="I23" s="31" t="n">
        <x:v>5</x:v>
      </x:c>
      <x:c r="J23" s="27" t="str">
        <x:v>423</x:v>
      </x:c>
      <x:c r="K23" s="32" t="str">
        <x:v>43227384196</x:v>
      </x:c>
      <x:c r="L23" s="26" t="str">
        <x:v>https://shopee.vn/1-Th%C3%B9ng-C%C3%A1t-Mix-PerformX-Advanced-JOYCAT-(T%C3%BAi-2.5kg-6L)-C%C3%A1t-M%C3%A8o-Th%E1%BA%BF-H%E1%BB%87-M%E1%BB%9Bi-Theo-D%C3%B5i-S%E1%BB%A9c-Kh%E1%BB%8Fe-Ultimate-Health-IQ-i.853699347.43227384196</x:v>
      </x:c>
      <x:c r="M23" s="26" t="str">
        <x:v>Shopee All Products sau đăng nhập</x:v>
      </x:c>
      <x:c r="N23" s="33" t="n">
        <x:v>46259</x:v>
      </x:c>
    </x:row>
    <x:row r="24" ht="44" customHeight="1">
      <x:c r="A24" s="27" t="n">
        <x:v>17</x:v>
      </x:c>
      <x:c r="B24" s="28" t="str">
        <x:v>Đang hiển thị</x:v>
      </x:c>
      <x:c r="C24" s="26" t="str">
        <x:v>Cát Sắn Mix Đậu Nành Tofuu.X</x:v>
      </x:c>
      <x:c r="D24" s="26" t="str">
        <x:v>Combo 3 túi</x:v>
      </x:c>
      <x:c r="E24" s="26" t="str">
        <x:v>[Xả Được Bồn Cầu] Combo 3 Túi Cát Sắn Mix Đậu Nành Tofuu.X Bio JOYCAT (Túi 2.5kg / 6L) - Cát Theo Dõi Sức Khỏe Cho Mèo</x:v>
      </x:c>
      <x:c r="F24" s="29" t="n">
        <x:v>396000</x:v>
      </x:c>
      <x:c r="G24" s="30" t="n">
        <x:v>0.22</x:v>
      </x:c>
      <x:c r="H24" s="27" t="str">
        <x:v>Có</x:v>
      </x:c>
      <x:c r="I24" s="31" t="n">
        <x:v>4.9</x:v>
      </x:c>
      <x:c r="J24" s="27" t="str">
        <x:v>59</x:v>
      </x:c>
      <x:c r="K24" s="32" t="str">
        <x:v>55712258330</x:v>
      </x:c>
      <x:c r="L24" s="26" t="str">
        <x:v>https://shopee.vn/-X%E1%BA%A3-%C4%90%C6%B0%E1%BB%A3c-B%E1%BB%93n-C%E1%BA%A7u-Combo-3-T%C3%BAi-C%C3%A1t-S%E1%BA%AFn-Mix-%C4%90%E1%BA%ADu-N%C3%A0nh-Tofuu.X-Bio-JOYCAT-(T%C3%BAi-2.5kg-6L)-C%C3%A1t-Theo-D%C3%B5i-S%E1%BB%A9c-Kh%E1%BB%8Fe-Cho-M%C3%A8o-i.853699347.55712258330</x:v>
      </x:c>
      <x:c r="M24" s="26" t="str">
        <x:v>Shopee All Products sau đăng nhập</x:v>
      </x:c>
      <x:c r="N24" s="33" t="n">
        <x:v>46259</x:v>
      </x:c>
    </x:row>
    <x:row r="25" ht="44" customHeight="1">
      <x:c r="A25" s="27" t="n">
        <x:v>18</x:v>
      </x:c>
      <x:c r="B25" s="28" t="str">
        <x:v>Đang hiển thị</x:v>
      </x:c>
      <x:c r="C25" s="26" t="str">
        <x:v>Cát Khoáng MineralX</x:v>
      </x:c>
      <x:c r="D25" s="26" t="str">
        <x:v>Combo 3 túi</x:v>
      </x:c>
      <x:c r="E25" s="26" t="str">
        <x:v>Combo 3 Túi Cát Khoáng MineralX Advanced JOYCAT (Túi 3.5kg / 8L) - Cát Mèo Thế Hệ Mới, Theo Dõi Sức Khỏe Ultimate Health</x:v>
      </x:c>
      <x:c r="F25" s="29" t="n">
        <x:v>272800</x:v>
      </x:c>
      <x:c r="G25" s="30" t="n">
        <x:v>0.24</x:v>
      </x:c>
      <x:c r="H25" s="27" t="str">
        <x:v>Có</x:v>
      </x:c>
      <x:c r="I25" s="31" t="n">
        <x:v>5</x:v>
      </x:c>
      <x:c r="J25" s="27" t="str">
        <x:v>65</x:v>
      </x:c>
      <x:c r="K25" s="32" t="str">
        <x:v>48458681913</x:v>
      </x:c>
      <x:c r="L25" s="26" t="str">
        <x:v>https://shopee.vn/Combo-3-T%C3%BAi-C%C3%A1t-Kho%C3%A1ng-MineralX-Advanced-JOYCAT-(T%C3%BAi-3.5kg-8L)-C%C3%A1t-M%C3%A8o-Th%E1%BA%BF-H%E1%BB%87-M%E1%BB%9Bi-Theo-D%C3%B5i-S%E1%BB%A9c-Kh%E1%BB%8Fe-Ultimate-Health-i.853699347.48458681913</x:v>
      </x:c>
      <x:c r="M25" s="26" t="str">
        <x:v>Shopee All Products sau đăng nhập</x:v>
      </x:c>
      <x:c r="N25" s="33" t="n">
        <x:v>46259</x:v>
      </x:c>
    </x:row>
    <x:row r="26" ht="44" customHeight="1">
      <x:c r="A26" s="27" t="n">
        <x:v>19</x:v>
      </x:c>
      <x:c r="B26" s="28" t="str">
        <x:v>Đang hiển thị</x:v>
      </x:c>
      <x:c r="C26" s="26" t="str">
        <x:v>Cát Đậu Nành Mix Khoáng PowerX</x:v>
      </x:c>
      <x:c r="D26" s="26" t="str">
        <x:v>Combo 2 túi</x:v>
      </x:c>
      <x:c r="E26" s="26" t="str">
        <x:v>Combo 2 Túi Cát Đậu Nành Mix Khoáng PowerX Bio JOYCAT (Túi 2.5kg / 6L) - Cát Mèo Theo Dõi Sức Khỏe Ultimate Health IQ</x:v>
      </x:c>
      <x:c r="F26" s="29" t="n">
        <x:v>189200</x:v>
      </x:c>
      <x:c r="G26" s="30" t="n">
        <x:v>0.21</x:v>
      </x:c>
      <x:c r="H26" s="27" t="str">
        <x:v>Có</x:v>
      </x:c>
      <x:c r="I26" s="31"/>
      <x:c r="J26" s="27"/>
      <x:c r="K26" s="32" t="str">
        <x:v>48762287172</x:v>
      </x:c>
      <x:c r="L26" s="26" t="str">
        <x:v>https://shopee.vn/Combo-2-T%C3%BAi-C%C3%A1t-%C4%90%E1%BA%ADu-N%C3%A0nh-Mix-Kho%C3%A1ng-PowerX-Bio-JOYCAT-(T%C3%BAi-2.5kg-6L)-C%C3%A1t-M%C3%A8o-Theo-D%C3%B5i-S%E1%BB%A9c-Kh%E1%BB%8Fe-Ultimate-Health-IQ-i.853699347.48762287172</x:v>
      </x:c>
      <x:c r="M26" s="26" t="str">
        <x:v>Shopee All Products sau đăng nhập</x:v>
      </x:c>
      <x:c r="N26" s="33" t="n">
        <x:v>46259</x:v>
      </x:c>
    </x:row>
    <x:row r="27" ht="44" customHeight="1">
      <x:c r="A27" s="27" t="n">
        <x:v>20</x:v>
      </x:c>
      <x:c r="B27" s="28" t="str">
        <x:v>Đang hiển thị</x:v>
      </x:c>
      <x:c r="C27" s="26" t="str">
        <x:v>Cát Đậu Nành Mix Khoáng PowerX</x:v>
      </x:c>
      <x:c r="D27" s="26" t="str">
        <x:v>Combo 3 túi</x:v>
      </x:c>
      <x:c r="E27" s="26" t="str">
        <x:v>Combo 3 Túi Cát Đậu Nành Mix Khoáng PowerX Bio JOYCAT (Túi 2.5kg / 6L) - Cát Mèo Theo Dõi Sức Khỏe Ultimate Health IQ</x:v>
      </x:c>
      <x:c r="F27" s="29" t="n">
        <x:v>277200</x:v>
      </x:c>
      <x:c r="G27" s="30" t="n">
        <x:v>0.23</x:v>
      </x:c>
      <x:c r="H27" s="27" t="str">
        <x:v>Có</x:v>
      </x:c>
      <x:c r="I27" s="31"/>
      <x:c r="J27" s="27"/>
      <x:c r="K27" s="32" t="str">
        <x:v>52462262098</x:v>
      </x:c>
      <x:c r="L27" s="26" t="str">
        <x:v>https://shopee.vn/Combo-3-T%C3%BAi-C%C3%A1t-%C4%90%E1%BA%ADu-N%C3%A0nh-Mix-Kho%C3%A1ng-PowerX-Bio-JOYCAT-(T%C3%BAi-2.5kg-6L)-C%C3%A1t-M%C3%A8o-Theo-D%C3%B5i-S%E1%BB%A9c-Kh%E1%BB%8Fe-Ultimate-Health-IQ-i.853699347.52462262098</x:v>
      </x:c>
      <x:c r="M27" s="26" t="str">
        <x:v>Shopee All Products sau đăng nhập</x:v>
      </x:c>
      <x:c r="N27" s="33" t="n">
        <x:v>46259</x:v>
      </x:c>
    </x:row>
    <x:row r="28" ht="44" customHeight="1">
      <x:c r="A28" s="27" t="n">
        <x:v>21</x:v>
      </x:c>
      <x:c r="B28" s="28" t="str">
        <x:v>Đang hiển thị</x:v>
      </x:c>
      <x:c r="C28" s="26" t="str">
        <x:v>Cát Sắn Mix Đậu Nành Tofuu.X</x:v>
      </x:c>
      <x:c r="D28" s="26" t="str">
        <x:v>Combo 2 túi</x:v>
      </x:c>
      <x:c r="E28" s="26" t="str">
        <x:v>[Xả Được Bồn Cầu] Combo 2 Túi Cát Sắn Mix Đậu Nành Tofuu.X Bio JOYCAT (Túi 2.5kg / 6L) - Cát Theo Dõi Sức Khỏe Cho Mèo</x:v>
      </x:c>
      <x:c r="F28" s="29" t="n">
        <x:v>268400</x:v>
      </x:c>
      <x:c r="G28" s="30" t="n">
        <x:v>0.21</x:v>
      </x:c>
      <x:c r="H28" s="27" t="str">
        <x:v>Có</x:v>
      </x:c>
      <x:c r="I28" s="31" t="n">
        <x:v>5</x:v>
      </x:c>
      <x:c r="J28" s="27" t="str">
        <x:v>11</x:v>
      </x:c>
      <x:c r="K28" s="32" t="str">
        <x:v>52712266855</x:v>
      </x:c>
      <x:c r="L28" s="26" t="str">
        <x:v>https://shopee.vn/-X%E1%BA%A3-%C4%90%C6%B0%E1%BB%A3c-B%E1%BB%93n-C%E1%BA%A7u-Combo-2-T%C3%BAi-C%C3%A1t-S%E1%BA%AFn-Mix-%C4%90%E1%BA%ADu-N%C3%A0nh-Tofuu.X-Bio-JOYCAT-(T%C3%BAi-2.5kg-6L)-C%C3%A1t-Theo-D%C3%B5i-S%E1%BB%A9c-Kh%E1%BB%8Fe-Cho-M%C3%A8o-i.853699347.52712266855</x:v>
      </x:c>
      <x:c r="M28" s="26" t="str">
        <x:v>Shopee All Products sau đăng nhập</x:v>
      </x:c>
      <x:c r="N28" s="33" t="n">
        <x:v>46259</x:v>
      </x:c>
    </x:row>
    <x:row r="29" ht="44" customHeight="1">
      <x:c r="A29" s="27" t="n">
        <x:v>22</x:v>
      </x:c>
      <x:c r="B29" s="28" t="str">
        <x:v>Đang hiển thị</x:v>
      </x:c>
      <x:c r="C29" s="26" t="str">
        <x:v>Cát Đậu Nành Mix Khoáng PowerX</x:v>
      </x:c>
      <x:c r="D29" s="26" t="str">
        <x:v>Combo 6 túi</x:v>
      </x:c>
      <x:c r="E29" s="26" t="str">
        <x:v>Combo 6 Túi Cát Đậu Nành Mix Khoáng PowerX Bio JOYCAT (Túi 2.5kg / 6L) - Cát Mèo Theo Dõi Sức Khỏe Ultimate Health IQ</x:v>
      </x:c>
      <x:c r="F29" s="29" t="n">
        <x:v>545600</x:v>
      </x:c>
      <x:c r="G29" s="30" t="n">
        <x:v>0.24</x:v>
      </x:c>
      <x:c r="H29" s="27" t="str">
        <x:v>Có</x:v>
      </x:c>
      <x:c r="I29" s="31" t="n">
        <x:v>5</x:v>
      </x:c>
      <x:c r="J29" s="27" t="str">
        <x:v>9</x:v>
      </x:c>
      <x:c r="K29" s="32" t="str">
        <x:v>46362295656</x:v>
      </x:c>
      <x:c r="L29" s="26" t="str">
        <x:v>https://shopee.vn/Combo-6-T%C3%BAi-C%C3%A1t-%C4%90%E1%BA%ADu-N%C3%A0nh-Mix-Kho%C3%A1ng-PowerX-Bio-JOYCAT-(T%C3%BAi-2.5kg-6L)-C%C3%A1t-M%C3%A8o-Theo-D%C3%B5i-S%E1%BB%A9c-Kh%E1%BB%8Fe-Ultimate-Health-IQ-i.853699347.46362295656</x:v>
      </x:c>
      <x:c r="M29" s="26" t="str">
        <x:v>Shopee All Products sau đăng nhập</x:v>
      </x:c>
      <x:c r="N29" s="33" t="n">
        <x:v>46259</x:v>
      </x:c>
    </x:row>
    <x:row r="30" ht="44" customHeight="1">
      <x:c r="A30" s="27" t="n">
        <x:v>23</x:v>
      </x:c>
      <x:c r="B30" s="28" t="str">
        <x:v>Đang hiển thị</x:v>
      </x:c>
      <x:c r="C30" s="26" t="str">
        <x:v>Cát Sắn Mix Đậu Nành Tofuu.X</x:v>
      </x:c>
      <x:c r="D30" s="26" t="str">
        <x:v>Combo 6 túi</x:v>
      </x:c>
      <x:c r="E30" s="26" t="str">
        <x:v>[Xả Được Bồn Cầu] Combo 6 Túi Cát Sắn Mix Đậu Nành Tofuu.X Bio JOYCAT (Túi 2.5kg / 6L) - Cát Theo Dõi Sức Khỏe Cho Mèo</x:v>
      </x:c>
      <x:c r="F30" s="29" t="n">
        <x:v>765600</x:v>
      </x:c>
      <x:c r="G30" s="30" t="n">
        <x:v>0.25</x:v>
      </x:c>
      <x:c r="H30" s="27" t="str">
        <x:v>Có</x:v>
      </x:c>
      <x:c r="I30" s="31" t="n">
        <x:v>5</x:v>
      </x:c>
      <x:c r="J30" s="27" t="str">
        <x:v>25</x:v>
      </x:c>
      <x:c r="K30" s="32" t="str">
        <x:v>40481736189</x:v>
      </x:c>
      <x:c r="L30" s="26" t="str">
        <x:v>https://shopee.vn/-X%E1%BA%A3-%C4%90%C6%B0%E1%BB%A3c-B%E1%BB%93n-C%E1%BA%A7u-Combo-6-T%C3%BAi-C%C3%A1t-S%E1%BA%AFn-Mix-%C4%90%E1%BA%ADu-N%C3%A0nh-Tofuu.X-Bio-JOYCAT-(T%C3%BAi-2.5kg-6L)-C%C3%A1t-Theo-D%C3%B5i-S%E1%BB%A9c-Kh%E1%BB%8Fe-Cho-M%C3%A8o-i.853699347.40481736189</x:v>
      </x:c>
      <x:c r="M30" s="26" t="str">
        <x:v>Shopee All Products sau đăng nhập</x:v>
      </x:c>
      <x:c r="N30" s="33" t="n">
        <x:v>46259</x:v>
      </x:c>
    </x:row>
    <x:row r="31" ht="44" customHeight="1">
      <x:c r="A31" s="27" t="n">
        <x:v>24</x:v>
      </x:c>
      <x:c r="B31" s="28" t="str">
        <x:v>Đã bán hết</x:v>
      </x:c>
      <x:c r="C31" s="26" t="str">
        <x:v>Cát Mix PerformX</x:v>
      </x:c>
      <x:c r="D31" s="26" t="str">
        <x:v>1 túi 4,5kg</x:v>
      </x:c>
      <x:c r="E31" s="26" t="str">
        <x:v>[Túi Tiết Kiệm] Cát Mix PerformX JOYCAT (Túi 4.5kg) - Cát Vệ Sinh Cho Mèo Hiệu Quả, Không Bụi, Thấm Hút Tốt, Đo pH</x:v>
      </x:c>
      <x:c r="F31" s="29" t="n">
        <x:v>220000</x:v>
      </x:c>
      <x:c r="G31" s="30"/>
      <x:c r="H31" s="27" t="str">
        <x:v>Không</x:v>
      </x:c>
      <x:c r="I31" s="31"/>
      <x:c r="J31" s="27"/>
      <x:c r="K31" s="32" t="str">
        <x:v>27144047088</x:v>
      </x:c>
      <x:c r="L31" s="26" t="str">
        <x:v>https://shopee.vn/-T%C3%BAi-Ti%E1%BA%BFt-Ki%E1%BB%87m-C%C3%A1t-Mix-PerformX-JOYCAT-%28T%C3%BAi-4.5kg%29-C%C3%A1t-V%E1%BB%87-Sinh-Cho-M%C3%A8o-Hi%E1%BB%87u-Qu%E1%BA%A3-Kh%C3%B4ng-B%E1%BB%A5i-Th%E1%BA%A5m-H%C3%BAt-T%E1%BB%91t-%C4%90o-pH-i.853699347.27144047088</x:v>
      </x:c>
      <x:c r="M31" s="26" t="str">
        <x:v>Trang sản phẩm Shopee được lập chỉ mục</x:v>
      </x:c>
      <x:c r="N31" s="33" t="n">
        <x:v>46259</x:v>
      </x:c>
    </x:row>
    <x:row r="32" ht="44" customHeight="1">
      <x:c r="A32" s="27" t="n">
        <x:v>25</x:v>
      </x:c>
      <x:c r="B32" s="28" t="str">
        <x:v>Đã bán hết</x:v>
      </x:c>
      <x:c r="C32" s="26" t="str">
        <x:v>Cát Sắn Natural</x:v>
      </x:c>
      <x:c r="D32" s="26" t="str">
        <x:v>1 túi 4,5kg</x:v>
      </x:c>
      <x:c r="E32" s="26" t="str">
        <x:v>[Túi Tiết Kiệm] Cát Sắn Natural Advanced JOYCAT (Túi 4.5kg) - Cát Vệ Sinh Cho Mèo Thế Hệ Mới, Không Bụi, Vón Cứng, Đo pH</x:v>
      </x:c>
      <x:c r="F32" s="29" t="n">
        <x:v>290000</x:v>
      </x:c>
      <x:c r="G32" s="30"/>
      <x:c r="H32" s="27" t="str">
        <x:v>Không</x:v>
      </x:c>
      <x:c r="I32" s="31"/>
      <x:c r="J32" s="27"/>
      <x:c r="K32" s="32" t="str">
        <x:v>54104795820</x:v>
      </x:c>
      <x:c r="L32" s="26" t="str">
        <x:v>https://shopee.vn/-T%C3%BAi-Ti%E1%BA%BFt-Ki%E1%BB%87m-C%C3%A1t-S%E1%BA%AFn-Natural-Advanced-JOYCAT-%28T%C3%BAi-4.5kg%29-C%C3%A1t-V%E1%BB%87-Sinh-Cho-M%C3%A8o-Th%E1%BA%BF-H%E1%BB%87-M%E1%BB%9Bi-Kh%C3%B4ng-B%E1%BB%A5i-V%C3%B3n-C%E1%BB%A9ng-%C4%90o-pH-i.853699347.54104795820</x:v>
      </x:c>
      <x:c r="M32" s="26" t="str">
        <x:v>Trang sản phẩm Shopee được lập chỉ mục</x:v>
      </x:c>
      <x:c r="N32" s="33" t="n">
        <x:v>46259</x:v>
      </x:c>
    </x:row>
  </x:sheetData>
  <x:mergeCells>
    <x:mergeCell ref="A1:N1"/>
    <x:mergeCell ref="A2:N2"/>
    <x:mergeCell ref="A6:N6"/>
  </x:mergeCells>
  <x:conditionalFormatting sqref="B8:B32">
    <x:cfRule type="containsText" dxfId="0" priority="1" operator="containsText" text="Đang hiển thị"/>
    <x:cfRule type="containsText" dxfId="1" priority="2" operator="containsText" text="Đã bán hết"/>
  </x:conditionalFormatting>
  <x:conditionalFormatting sqref="G8:G32">
    <x:cfRule type="dataBar" priority="3">
      <x:dataBar>
        <x:cfvo type="min"/>
        <x:cfvo type="max"/>
        <x:color rgb="FFEE4D2D"/>
      </x:dataBar>
      <x:extLst>
        <x:ext xmlns:x14="http://schemas.microsoft.com/office/spreadsheetml/2009/9/main" uri="{B025F937-C7B1-47D3-B67F-A62EFF666E3E}">
          <x14:id>{4DBC13C9-E29B-8239-46F2-61C6522A7FE9}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fe2bed7cec847e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4DBC13C9-E29B-8239-46F2-61C6522A7FE9}">
            <x14:dataBar gradient="1">
              <x14:cfvo type="min"/>
              <x14:cfvo type="max"/>
              <x14:fillColor rgb="FFEE4D2D"/>
            </x14:dataBar>
          </x14:cfRule>
          <xm:sqref>G8:G32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72" hidden="0" customWidth="1"/>
    <x:col min="3" max="3" width="46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18" hidden="0" customHeight="1">
      <x:c r="A1" s="35" t="str">
        <x:v>GHI CHÚ NGUỒN VÀ GIỚI HẠN DỮ LIỆU</x:v>
      </x:c>
      <x:c r="B1" s="35"/>
      <x:c r="C1" s="35"/>
      <x:c r="D1" s="35"/>
      <x:c r="E1" s="35"/>
      <x:c r="F1" s="35"/>
    </x:row>
    <x:row r="2"/>
    <x:row r="3" ht="15" hidden="0" customHeight="1">
      <x:c r="A3" s="37" t="str">
        <x:v>Tên shop</x:v>
      </x:c>
      <x:c r="B3" s="38" t="str">
        <x:v>Cát Mèo JOYCAT</x:v>
      </x:c>
    </x:row>
    <x:row r="4" ht="15" hidden="0" customHeight="1">
      <x:c r="A4" s="39" t="str">
        <x:v>URL shop</x:v>
      </x:c>
      <x:c r="B4" s="40" t="str">
        <x:v>https://shopee.vn/joycat_shop</x:v>
      </x:c>
    </x:row>
    <x:row r="5" ht="15" hidden="0" customHeight="1">
      <x:c r="A5" s="39" t="str">
        <x:v>Shop ID</x:v>
      </x:c>
      <x:c r="B5" s="40" t="str">
        <x:v>853699347</x:v>
      </x:c>
    </x:row>
    <x:row r="6" ht="15" hidden="0" customHeight="1">
      <x:c r="A6" s="39" t="str">
        <x:v>Số sản phẩm shop công bố</x:v>
      </x:c>
      <x:c r="B6" s="40" t="n">
        <x:v>25</x:v>
      </x:c>
    </x:row>
    <x:row r="7" ht="15" hidden="0" customHeight="1">
      <x:c r="A7" s="39" t="str">
        <x:v>Đang hiển thị trong All Products</x:v>
      </x:c>
      <x:c r="B7" s="40" t="n">
        <x:v>23</x:v>
      </x:c>
    </x:row>
    <x:row r="8" ht="15" hidden="0" customHeight="1">
      <x:c r="A8" s="39" t="str">
        <x:v>Đã bán hết nhưng còn trang sản phẩm</x:v>
      </x:c>
      <x:c r="B8" s="40" t="n">
        <x:v>2</x:v>
      </x:c>
    </x:row>
    <x:row r="9" ht="15" hidden="0" customHeight="1">
      <x:c r="A9" s="39" t="str">
        <x:v>Ngày thu thập</x:v>
      </x:c>
      <x:c r="B9" s="43" t="n">
        <x:v>46259</x:v>
      </x:c>
    </x:row>
    <x:row r="10" ht="15" hidden="0" customHeight="1">
      <x:c r="A10" s="41" t="str">
        <x:v>Tài khoản dùng để đọc</x:v>
      </x:c>
      <x:c r="B10" s="42" t="str">
        <x:v>Phiên Shopee đã đăng nhập của Duy; không lưu thông tin đăng nhập</x:v>
      </x:c>
    </x:row>
    <x:row r="11"/>
    <x:row r="12" ht="15" hidden="0" customHeight="1">
      <x:c r="A12" s="45" t="str">
        <x:v>Cách đọc file</x:v>
      </x:c>
      <x:c r="B12" s="45"/>
      <x:c r="C12" s="45"/>
      <x:c r="D12" s="45"/>
      <x:c r="E12" s="45"/>
      <x:c r="F12" s="45"/>
    </x:row>
    <x:row r="13" ht="26.399999618530273" hidden="0" customHeight="1">
      <x:c r="A13" s="56" t="str">
        <x:v>1</x:v>
      </x:c>
      <x:c r="B13" s="48" t="str">
        <x:v>Giá hiện tại</x:v>
      </x:c>
      <x:c r="C13" s="48" t="str">
        <x:v>Là giá Shopee hiển thị tại thời điểm thu thập; có thể là giá cá nhân hóa hoặc giá khuyến mãi.</x:v>
      </x:c>
      <x:c r="D13" s="48"/>
      <x:c r="E13" s="48"/>
      <x:c r="F13" s="49"/>
    </x:row>
    <x:row r="14" ht="26.399999618530273" hidden="0" customHeight="1">
      <x:c r="A14" s="57" t="str">
        <x:v>2</x:v>
      </x:c>
      <x:c r="B14" s="51" t="str">
        <x:v>Đã bán</x:v>
      </x:c>
      <x:c r="C14" s="51" t="str">
        <x:v>Giữ nguyên dạng Shopee hiển thị như 1k+ hoặc 5k+; không biến thành số chính xác.</x:v>
      </x:c>
      <x:c r="D14" s="51"/>
      <x:c r="E14" s="51"/>
      <x:c r="F14" s="52"/>
    </x:row>
    <x:row r="15" ht="26.399999618530273" hidden="0" customHeight="1">
      <x:c r="A15" s="57" t="str">
        <x:v>3</x:v>
      </x:c>
      <x:c r="B15" s="51" t="str">
        <x:v>Điểm đánh giá</x:v>
      </x:c>
      <x:c r="C15" s="51" t="str">
        <x:v>Hai sản phẩm PowerX combo mới chỉ hiển thị Shop Rating nên để trống điểm sản phẩm.</x:v>
      </x:c>
      <x:c r="D15" s="51"/>
      <x:c r="E15" s="51"/>
      <x:c r="F15" s="52"/>
    </x:row>
    <x:row r="16" ht="26.399999618530273" hidden="0" customHeight="1">
      <x:c r="A16" s="57" t="str">
        <x:v>4</x:v>
      </x:c>
      <x:c r="B16" s="51" t="str">
        <x:v>Sản phẩm bán hết</x:v>
      </x:c>
      <x:c r="C16" s="51" t="str">
        <x:v>Hai túi tiết kiệm 4,5 kg không xuất hiện trong All Products nhưng có trang sản phẩm và trạng thái Đã bán hết.</x:v>
      </x:c>
      <x:c r="D16" s="51"/>
      <x:c r="E16" s="51"/>
      <x:c r="F16" s="52"/>
    </x:row>
    <x:row r="17" ht="26.399999618530273" hidden="0" customHeight="1">
      <x:c r="A17" s="58" t="str">
        <x:v>5</x:v>
      </x:c>
      <x:c r="B17" s="54" t="str">
        <x:v>Phạm vi</x:v>
      </x:c>
      <x:c r="C17" s="54" t="str">
        <x:v>Danh sách ở cấp sản phẩm; chưa tách từng phân loại/biến thể trong một sản phẩm.</x:v>
      </x:c>
      <x:c r="D17" s="54"/>
      <x:c r="E17" s="54"/>
      <x:c r="F17" s="55"/>
    </x:row>
    <x:row r="18"/>
    <x:row r="19" ht="15" hidden="0" customHeight="1">
      <x:c r="A19" s="45" t="str">
        <x:v>Nguồn xác minh</x:v>
      </x:c>
      <x:c r="B19" s="45"/>
      <x:c r="C19" s="45"/>
      <x:c r="D19" s="45"/>
      <x:c r="E19" s="45"/>
      <x:c r="F19" s="45"/>
    </x:row>
    <x:row r="20" ht="15" hidden="0" customHeight="1">
      <x:c r="A20" s="47" t="str">
        <x:v>Catalog đang hiển thị</x:v>
      </x:c>
      <x:c r="B20" s="48" t="str">
        <x:v>https://shopee.vn/joycat_shop?is_from_login=true</x:v>
      </x:c>
      <x:c r="C20" s="48" t="str">
        <x:v>23 sản phẩm</x:v>
      </x:c>
      <x:c r="D20" s="48"/>
      <x:c r="E20" s="48"/>
      <x:c r="F20" s="49"/>
    </x:row>
    <x:row r="21" ht="52.79999923706055" hidden="0" customHeight="1">
      <x:c r="A21" s="50" t="str">
        <x:v>Túi tiết kiệm PerformX 4,5kg</x:v>
      </x:c>
      <x:c r="B21" s="51" t="str">
        <x:v>https://shopee.vn/-T%C3%BAi-Ti%E1%BA%BFt-Ki%E1%BB%87m-C%C3%A1t-Mix-PerformX-JOYCAT-%28T%C3%BAi-4.5kg%29-C%C3%A1t-V%E1%BB%87-Sinh-Cho-M%C3%A8o-Hi%E1%BB%87u-Qu%E1%BA%A3-Kh%C3%B4ng-B%E1%BB%A5i-Th%E1%BA%A5m-H%C3%BAt-T%E1%BB%91t-%C4%90o-pH-i.853699347.27144047088</x:v>
      </x:c>
      <x:c r="C21" s="51" t="str">
        <x:v>Đã bán hết</x:v>
      </x:c>
      <x:c r="D21" s="51"/>
      <x:c r="E21" s="51"/>
      <x:c r="F21" s="52"/>
    </x:row>
    <x:row r="22" ht="52.79999923706055" hidden="0" customHeight="1">
      <x:c r="A22" s="53" t="str">
        <x:v>Túi tiết kiệm Natural 4,5kg</x:v>
      </x:c>
      <x:c r="B22" s="54" t="str">
        <x:v>https://shopee.vn/-T%C3%BAi-Ti%E1%BA%BFt-Ki%E1%BB%87m-C%C3%A1t-S%E1%BA%AFn-Natural-Advanced-JOYCAT-%28T%C3%BAi-4.5kg%29-C%C3%A1t-V%E1%BB%87-Sinh-Cho-M%C3%A8o-Th%E1%BA%BF-H%E1%BB%87-M%E1%BB%9Bi-Kh%C3%B4ng-B%E1%BB%A5i-V%C3%B3n-C%E1%BB%A9ng-%C4%90o-pH-i.853699347.54104795820</x:v>
      </x:c>
      <x:c r="C22" s="54" t="str">
        <x:v>Đã bán hết</x:v>
      </x:c>
      <x:c r="D22" s="54"/>
      <x:c r="E22" s="54"/>
      <x:c r="F22" s="55"/>
    </x:row>
  </x:sheetData>
  <x:mergeCells>
    <x:mergeCell ref="A1:F1"/>
    <x:mergeCell ref="A12:F12"/>
    <x:mergeCell ref="A19:F19"/>
  </x:mergeCells>
  <x:pageMargins left="0.7" right="0.7" top="0.75" bottom="0.75" header="0.3" footer="0.3"/>
</x:worksheet>
</file>